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eias" sheetId="1" state="visible" r:id="rId3"/>
    <sheet name="Resumo" sheetId="2" state="visible" r:id="rId4"/>
  </sheets>
  <definedNames>
    <definedName function="false" hidden="true" localSheetId="0" name="_xlnm._FilterDatabase" vbProcedure="false">Ideias!$A$5:$I$39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<sst xmlns="http://schemas.openxmlformats.org/spreadsheetml/2006/main" count="240" uniqueCount="141">
  <si>
    <t xml:space="preserve">Ideias para melhorar o visual, o dinamismo e a fluidez do Sistema UAN</t>
  </si>
  <si>
    <t xml:space="preserve">Restrições: sem bibliotecas nem ficheiros externos, funciona offline, CSP limitada ao próprio servidor; todas as animações respeitam o modo de movimento reduzido.</t>
  </si>
  <si>
    <t xml:space="preserve">Colunas a preencher (fundo amarelo): Estado e Notas. Prioridade 1 = fazer primeiro. Recomendado = Sim marca o pacote que sugeri começar.</t>
  </si>
  <si>
    <t xml:space="preserve">Nº</t>
  </si>
  <si>
    <t xml:space="preserve">Pacote</t>
  </si>
  <si>
    <t xml:space="preserve">Ideia</t>
  </si>
  <si>
    <t xml:space="preserve">Como funciona</t>
  </si>
  <si>
    <t xml:space="preserve">Benefício para o analista</t>
  </si>
  <si>
    <t xml:space="preserve">Prioridade</t>
  </si>
  <si>
    <t xml:space="preserve">Recomendado</t>
  </si>
  <si>
    <t xml:space="preserve">Estado</t>
  </si>
  <si>
    <t xml:space="preserve">Notas</t>
  </si>
  <si>
    <t xml:space="preserve">1. Fluidez</t>
  </si>
  <si>
    <t xml:space="preserve">Decisão sem recarregar a página</t>
  </si>
  <si>
    <t xml:space="preserve">Ao carregar em 1–4, o item sai com animação para o lado, o seguinte sobe e o contador do menu desce; o envio vai em segundo plano e, se falhar, o item volta com uma mensagem.</t>
  </si>
  <si>
    <t xml:space="preserve">A fila parece uma caixa de correio rápida; hoje cada decisão recarrega a página.</t>
  </si>
  <si>
    <t xml:space="preserve">Sim</t>
  </si>
  <si>
    <t xml:space="preserve">Aprovada</t>
  </si>
  <si>
    <t xml:space="preserve">Desfazer durante 5 segundos</t>
  </si>
  <si>
    <t xml:space="preserve">Depois de cada decisão, uma pequena notificação no canto permite anular a decisão.</t>
  </si>
  <si>
    <t xml:space="preserve">Engano corrigido sem ir à página da publicação.</t>
  </si>
  <si>
    <t xml:space="preserve">Notificações discretas no canto</t>
  </si>
  <si>
    <t xml:space="preserve">Confirmações ("Decisão gravada", "Alerta enviado") aparecem no canto em vez de faixas no topo.</t>
  </si>
  <si>
    <t xml:space="preserve">O conteúdo não salta para baixo a cada acção.</t>
  </si>
  <si>
    <t xml:space="preserve">Transições entre páginas</t>
  </si>
  <si>
    <t xml:space="preserve">View Transitions API (navegadores Chromium): o conteúdo desliza e o menu fica parado; sem suporte, nada muda.</t>
  </si>
  <si>
    <t xml:space="preserve">Navegar parece uma aplicação, não uma sucessão de páginas.</t>
  </si>
  <si>
    <t xml:space="preserve">Não</t>
  </si>
  <si>
    <t xml:space="preserve">Rejeitada</t>
  </si>
  <si>
    <t xml:space="preserve">Esqueletos de carregamento</t>
  </si>
  <si>
    <t xml:space="preserve">Blocos cinzentos animados no mapa e no relatório enquanto calculam.</t>
  </si>
  <si>
    <t xml:space="preserve">Não há ecrã em branco nos períodos longos.</t>
  </si>
  <si>
    <t xml:space="preserve">2. Dinamismo</t>
  </si>
  <si>
    <t xml:space="preserve">Alertas em tempo real</t>
  </si>
  <si>
    <t xml:space="preserve">O contador do menu actualiza sozinho através da consulta a /estado; um alerta novo faz o número dar um pulso e mostra uma notificação.</t>
  </si>
  <si>
    <t xml:space="preserve">O sistema mostra que está vivo sem recarregar.</t>
  </si>
  <si>
    <t xml:space="preserve">Números animados nos indicadores</t>
  </si>
  <si>
    <t xml:space="preserve">Os indicadores contam de 0 até ao valor em cerca de meio segundo ao abrir a página; algarismos tabulares evitam saltos.</t>
  </si>
  <si>
    <t xml:space="preserve">Leitura mais viva dos totais.</t>
  </si>
  <si>
    <t xml:space="preserve">Mapa interactivo</t>
  </si>
  <si>
    <t xml:space="preserve">Províncias acendem uma a uma; cartão flutuante com nome, taxa, casos e variação ao passar o rato; clique realça a linha da tabela e desliza até ela.</t>
  </si>
  <si>
    <t xml:space="preserve">Exploração mais rápida do que com a dica nativa do navegador.</t>
  </si>
  <si>
    <t xml:space="preserve">Linhas de tendência pequenas</t>
  </si>
  <si>
    <t xml:space="preserve">Pequena linha com a evolução dos últimos períodos na tabela por província e nos indicadores, desenhada em SVG no servidor.</t>
  </si>
  <si>
    <t xml:space="preserve">Mostra a tendência de relance.</t>
  </si>
  <si>
    <t xml:space="preserve">Progresso com tempo estimado</t>
  </si>
  <si>
    <t xml:space="preserve">A barra de classificação indica "faltam ~40 s", calculado a partir do ritmo dos sublotes.</t>
  </si>
  <si>
    <t xml:space="preserve">O analista sabe quanto falta.</t>
  </si>
  <si>
    <t xml:space="preserve">3. Visual</t>
  </si>
  <si>
    <t xml:space="preserve">Modo escuro</t>
  </si>
  <si>
    <t xml:space="preserve">Automático conforme o Windows e com botão próprio; as cores já estão em variáveis.</t>
  </si>
  <si>
    <t xml:space="preserve">Conforto em turnos de análise longos.</t>
  </si>
  <si>
    <t xml:space="preserve">Ícones SVG próprios no menu</t>
  </si>
  <si>
    <t xml:space="preserve">Fila, alertas, mapa, relatório… num ficheiro local, sem FontAwesome.</t>
  </si>
  <si>
    <t xml:space="preserve">Menu mais fácil de percorrer de relance.</t>
  </si>
  <si>
    <t xml:space="preserve">Paleta de comandos (Ctrl+K)</t>
  </si>
  <si>
    <t xml:space="preserve">Caixa de pesquisa para saltar para qualquer página ou acção ("mapa 30 dias", "nova amostra").</t>
  </si>
  <si>
    <t xml:space="preserve">Navegação rápida, padrão em produtos SaaS modernos.</t>
  </si>
  <si>
    <t xml:space="preserve">Estados vazios ilustrados</t>
  </si>
  <si>
    <t xml:space="preserve">Pequenos desenhos SVG próprios ("Fila em dia") em vez de só texto.</t>
  </si>
  <si>
    <t xml:space="preserve">Acabamento de produto.</t>
  </si>
  <si>
    <t xml:space="preserve">Barra de cor por categoria na fila</t>
  </si>
  <si>
    <t xml:space="preserve">Barra fina na margem esquerda de cada item, na cor da categoria sugerida.</t>
  </si>
  <si>
    <t xml:space="preserve">Leitura da fila de relance.</t>
  </si>
  <si>
    <t xml:space="preserve">Cabeçalhos fixos e ordenação nas tabelas</t>
  </si>
  <si>
    <t xml:space="preserve">Cabeçalhos ficam visíveis ao deslocar; ordenação por clique nas tabelas do mapa e do relatório.</t>
  </si>
  <si>
    <t xml:space="preserve">Tabelas longas mais fáceis de ler e comparar.</t>
  </si>
  <si>
    <t xml:space="preserve">4. Produtividade</t>
  </si>
  <si>
    <t xml:space="preserve">Mais atalhos de teclado</t>
  </si>
  <si>
    <t xml:space="preserve">? mostra a ajuda; G+F vai para a fila; G+M para o mapa; U desfaz.</t>
  </si>
  <si>
    <t xml:space="preserve">Menos rato, mais ritmo.</t>
  </si>
  <si>
    <t xml:space="preserve">Contador de sessão</t>
  </si>
  <si>
    <t xml:space="preserve">Indicação discreta, por exemplo "12 revistas · ritmo 40/h".</t>
  </si>
  <si>
    <t xml:space="preserve">Útil para a avaliação com analistas.</t>
  </si>
  <si>
    <t xml:space="preserve">Filtros memorizados</t>
  </si>
  <si>
    <t xml:space="preserve">Os filtros de cada utilizador ficam guardados no navegador.</t>
  </si>
  <si>
    <t xml:space="preserve">Não é preciso escolher os filtros de novo em cada visita.</t>
  </si>
  <si>
    <t xml:space="preserve">5. Leitura da fila</t>
  </si>
  <si>
    <t xml:space="preserve">Lugares e máscaras realçados no texto</t>
  </si>
  <si>
    <t xml:space="preserve">As províncias detectadas aparecem sublinhadas a cor e as máscaras ([TELEFONE], @[MENCAO]) como etiquetas cinzentas.</t>
  </si>
  <si>
    <t xml:space="preserve">Percebe de relance onde se passa e o que foi anonimizado.</t>
  </si>
  <si>
    <t xml:space="preserve">Por decidir</t>
  </si>
  <si>
    <t xml:space="preserve">Barra única de probabilidades</t>
  </si>
  <si>
    <t xml:space="preserve">As quatro barras viram uma só barra empilhada com as cores das categorias; o valor de cada uma aparece ao passar o rato.</t>
  </si>
  <si>
    <t xml:space="preserve">Lado direito do item mais limpo e mais fácil de comparar entre itens.</t>
  </si>
  <si>
    <t xml:space="preserve">Painel lateral de detalhe</t>
  </si>
  <si>
    <t xml:space="preserve">Clicar em "detalhe" abre um painel deslizante à direita com o contexto, as revisões e a auditoria, sem sair da fila.</t>
  </si>
  <si>
    <t xml:space="preserve">Não perde o lugar na fila para ver mais informação.</t>
  </si>
  <si>
    <t xml:space="preserve">Indicador permanente de revisão cega</t>
  </si>
  <si>
    <t xml:space="preserve">Com a revisão cega activa, um selo fixo no topo da página lembra o modo em que se está.</t>
  </si>
  <si>
    <t xml:space="preserve">Evita dúvidas durante a avaliação com analistas.</t>
  </si>
  <si>
    <t xml:space="preserve">6. Mapa e relatório</t>
  </si>
  <si>
    <t xml:space="preserve">Reproduzir o mapa no tempo</t>
  </si>
  <si>
    <t xml:space="preserve">Botão ▶ e cursor por semanas: o mapa muda de cor semana a semana dentro do período escolhido.</t>
  </si>
  <si>
    <t xml:space="preserve">Mostra o crescimento das ameaças como um filme curto, muito útil na defesa.</t>
  </si>
  <si>
    <t xml:space="preserve">Comparar dois períodos lado a lado</t>
  </si>
  <si>
    <t xml:space="preserve">Dois mapas pequenos (antes e depois) com a mesma escala de cor.</t>
  </si>
  <si>
    <t xml:space="preserve">A mudança vê-se sem ler números.</t>
  </si>
  <si>
    <t xml:space="preserve">Descarregar o mapa em imagem</t>
  </si>
  <si>
    <t xml:space="preserve">Botão para guardar o mapa em SVG ou PNG, com legenda e período, gerado no próprio navegador.</t>
  </si>
  <si>
    <t xml:space="preserve">Figuras prontas para relatórios e para a dissertação.</t>
  </si>
  <si>
    <t xml:space="preserve">Mini-mapa no Panorama</t>
  </si>
  <si>
    <t xml:space="preserve">Versão pequena do mapa dos últimos 7 dias na página inicial, que leva ao mapa completo.</t>
  </si>
  <si>
    <t xml:space="preserve">O estado do país fica visível logo à entrada.</t>
  </si>
  <si>
    <t xml:space="preserve">7. Alertas</t>
  </si>
  <si>
    <t xml:space="preserve">Sino com os últimos alertas</t>
  </si>
  <si>
    <t xml:space="preserve">Ícone de sino no topo com um painel suspenso dos 5 alertas mais recentes e o botão "ver todos".</t>
  </si>
  <si>
    <t xml:space="preserve">Consulta rápida sem mudar de página.</t>
  </si>
  <si>
    <t xml:space="preserve">Alertas agrupados por dia</t>
  </si>
  <si>
    <t xml:space="preserve">A lista separa-se em "Hoje", "Ontem" e datas anteriores, com uma linha do tempo vertical.</t>
  </si>
  <si>
    <t xml:space="preserve">Lista longa mais fácil de percorrer.</t>
  </si>
  <si>
    <t xml:space="preserve">8. Acessibilidade</t>
  </si>
  <si>
    <t xml:space="preserve">Tamanho de letra ajustável</t>
  </si>
  <si>
    <t xml:space="preserve">Botões A− / A+ na conta do utilizador; a escolha fica guardada.</t>
  </si>
  <si>
    <t xml:space="preserve">Conforto de leitura em ecrãs pequenos ou para quem precisa.</t>
  </si>
  <si>
    <t xml:space="preserve">Densidade da fila</t>
  </si>
  <si>
    <t xml:space="preserve">Opção "compacta" ou "confortável" para mostrar mais ou menos itens por ecrã.</t>
  </si>
  <si>
    <t xml:space="preserve">Analistas experientes vêem mais itens de uma vez.</t>
  </si>
  <si>
    <t xml:space="preserve">9. Defesa e confiança</t>
  </si>
  <si>
    <t xml:space="preserve">Página "Sobre o modelo"</t>
  </si>
  <si>
    <t xml:space="preserve">Cartão do modelo com versão, data de treino, F1 por categoria, desempenho em conteúdo angolano e limitações conhecidas.</t>
  </si>
  <si>
    <t xml:space="preserve">Transparência para analistas e para o júri; liga a interface aos resultados do Capítulo 4.</t>
  </si>
  <si>
    <t xml:space="preserve">Modo demonstração</t>
  </si>
  <si>
    <t xml:space="preserve">Base de dados separada com dados fictícios e faixa "Demonstração" bem visível, activada por uma opção ao arrancar.</t>
  </si>
  <si>
    <t xml:space="preserve">Apresentação segura na defesa, sem expor dados reais.</t>
  </si>
  <si>
    <t xml:space="preserve">Visita guiada na primeira entrada</t>
  </si>
  <si>
    <t xml:space="preserve">Quatro passos curtos que apontam a fila, as decisões, os alertas e o mapa; pode ser repetida no menu.</t>
  </si>
  <si>
    <t xml:space="preserve">Analistas novos aprendem sozinhos a usar o sistema.</t>
  </si>
  <si>
    <t xml:space="preserve">A evitar: animações longas (mais de 300 ms) e efeitos decorativos em cima dos dados. Numa ferramenta de análise, o movimento deve explicar o que mudou, não enfeitar.</t>
  </si>
  <si>
    <t xml:space="preserve">Fonte: sugestões de Claude na conversa de 15/10/2026, para a aplicação web do Sistema UAN (dissertação UAN).</t>
  </si>
  <si>
    <t xml:space="preserve">Resumo por pacote e por estado</t>
  </si>
  <si>
    <t xml:space="preserve">Calculado a partir da folha Ideias; actualiza-se ao mudar o Estado.</t>
  </si>
  <si>
    <t xml:space="preserve">Ideias</t>
  </si>
  <si>
    <t xml:space="preserve">Recomendadas</t>
  </si>
  <si>
    <t xml:space="preserve">Aprovadas</t>
  </si>
  <si>
    <t xml:space="preserve">Em curso</t>
  </si>
  <si>
    <t xml:space="preserve">Feitas</t>
  </si>
  <si>
    <t xml:space="preserve">Rejeitadas</t>
  </si>
  <si>
    <t xml:space="preserve">% concluído</t>
  </si>
  <si>
    <t xml:space="preserve">Total</t>
  </si>
  <si>
    <t xml:space="preserve">% concluído = feitas ÷ (ideias − rejeitadas).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</si>
</sst>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12E"/>
      <name val="Arial"/>
      <family val="0"/>
      <charset val="1"/>
    </font>
    <font>
      <sz val="10"/>
      <color rgb="FF5B68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B6876"/>
      <name val="Arial"/>
      <family val="0"/>
      <charset val="1"/>
    </font>
    <font>
      <sz val="9"/>
      <color rgb="FF5B687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3A5E"/>
        <bgColor rgb="FF16212E"/>
      </patternFill>
    </fill>
    <fill>
      <patternFill patternType="solid">
        <fgColor rgb="FFFFF7D6"/>
        <bgColor rgb="FFE8F5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CC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43A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D"/>
          <bgColor rgb="FF000000"/>
        </patternFill>
      </fill>
    </dxf>
    <dxf>
      <fill>
        <patternFill patternType="solid">
          <fgColor rgb="FF1F6F43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A3261A"/>
          <bgColor rgb="FF000000"/>
        </patternFill>
      </fill>
    </dxf>
    <dxf>
      <font>
        <name val="Arial"/>
        <charset val="1"/>
        <family val="0"/>
        <b val="1"/>
        <color rgb="FF1F6F43"/>
      </font>
      <fill>
        <patternFill>
          <bgColor rgb="FFE8F5ED"/>
        </patternFill>
      </fill>
    </dxf>
    <dxf>
      <font>
        <name val="Arial"/>
        <charset val="1"/>
        <family val="0"/>
        <b val="1"/>
        <color rgb="FF1F6F43"/>
      </font>
    </dxf>
    <dxf>
      <font>
        <name val="Arial"/>
        <charset val="1"/>
        <family val="0"/>
        <strike val="1"/>
        <color rgb="FFA3261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6CCC3"/>
      <rgbColor rgb="FF808080"/>
      <rgbColor rgb="FF9999FF"/>
      <rgbColor rgb="FF993366"/>
      <rgbColor rgb="FFFFF7D6"/>
      <rgbColor rgb="FFE8F5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876"/>
      <rgbColor rgb="FF969696"/>
      <rgbColor rgb="FF143A5E"/>
      <rgbColor rgb="FF339966"/>
      <rgbColor rgb="FF003300"/>
      <rgbColor rgb="FF333300"/>
      <rgbColor rgb="FFA3261A"/>
      <rgbColor rgb="FF993366"/>
      <rgbColor rgb="FF333399"/>
      <rgbColor rgb="FF1621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C6" activeCellId="0" sqref="C6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17.2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1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37.5" hidden="false" customHeight="true" outlineLevel="0" collapsed="false">
      <c r="A6" s="4" t="n">
        <v>1</v>
      </c>
      <c r="B6" s="5" t="s">
        <v>12</v>
      </c>
      <c r="C6" s="6" t="s">
        <v>13</v>
      </c>
      <c r="D6" s="5" t="s">
        <v>14</v>
      </c>
      <c r="E6" s="5" t="s">
        <v>15</v>
      </c>
      <c r="F6" s="4" t="n">
        <v>1</v>
      </c>
      <c r="G6" s="4" t="s">
        <v>16</v>
      </c>
      <c r="H6" s="7" t="s">
        <v>17</v>
      </c>
      <c r="I6" s="7"/>
    </row>
    <row r="7" customFormat="false" ht="24.75" hidden="false" customHeight="true" outlineLevel="0" collapsed="false">
      <c r="A7" s="4" t="n">
        <v>2</v>
      </c>
      <c r="B7" s="5" t="s">
        <v>12</v>
      </c>
      <c r="C7" s="6" t="s">
        <v>18</v>
      </c>
      <c r="D7" s="5" t="s">
        <v>19</v>
      </c>
      <c r="E7" s="5" t="s">
        <v>20</v>
      </c>
      <c r="F7" s="4" t="n">
        <v>1</v>
      </c>
      <c r="G7" s="4" t="s">
        <v>16</v>
      </c>
      <c r="H7" s="7" t="s">
        <v>17</v>
      </c>
      <c r="I7" s="7"/>
    </row>
    <row r="8" customFormat="false" ht="24.75" hidden="false" customHeight="true" outlineLevel="0" collapsed="false">
      <c r="A8" s="4" t="n">
        <v>3</v>
      </c>
      <c r="B8" s="5" t="s">
        <v>12</v>
      </c>
      <c r="C8" s="6" t="s">
        <v>21</v>
      </c>
      <c r="D8" s="5" t="s">
        <v>22</v>
      </c>
      <c r="E8" s="5" t="s">
        <v>23</v>
      </c>
      <c r="F8" s="4" t="n">
        <v>1</v>
      </c>
      <c r="G8" s="4" t="s">
        <v>16</v>
      </c>
      <c r="H8" s="7" t="s">
        <v>17</v>
      </c>
      <c r="I8" s="7"/>
    </row>
    <row r="9" customFormat="false" ht="24.75" hidden="false" customHeight="true" outlineLevel="0" collapsed="false">
      <c r="A9" s="4" t="n">
        <v>4</v>
      </c>
      <c r="B9" s="5" t="s">
        <v>12</v>
      </c>
      <c r="C9" s="6" t="s">
        <v>24</v>
      </c>
      <c r="D9" s="5" t="s">
        <v>25</v>
      </c>
      <c r="E9" s="5" t="s">
        <v>26</v>
      </c>
      <c r="F9" s="4" t="n">
        <v>1</v>
      </c>
      <c r="G9" s="4" t="s">
        <v>27</v>
      </c>
      <c r="H9" s="7" t="s">
        <v>28</v>
      </c>
      <c r="I9" s="7"/>
    </row>
    <row r="10" customFormat="false" ht="15" hidden="false" customHeight="false" outlineLevel="0" collapsed="false">
      <c r="A10" s="4" t="n">
        <v>5</v>
      </c>
      <c r="B10" s="5" t="s">
        <v>12</v>
      </c>
      <c r="C10" s="6" t="s">
        <v>29</v>
      </c>
      <c r="D10" s="5" t="s">
        <v>30</v>
      </c>
      <c r="E10" s="5" t="s">
        <v>31</v>
      </c>
      <c r="F10" s="4" t="n">
        <v>1</v>
      </c>
      <c r="G10" s="4" t="s">
        <v>27</v>
      </c>
      <c r="H10" s="7" t="s">
        <v>28</v>
      </c>
      <c r="I10" s="7"/>
    </row>
    <row r="11" customFormat="false" ht="24.75" hidden="false" customHeight="true" outlineLevel="0" collapsed="false">
      <c r="A11" s="4" t="n">
        <v>6</v>
      </c>
      <c r="B11" s="5" t="s">
        <v>32</v>
      </c>
      <c r="C11" s="6" t="s">
        <v>33</v>
      </c>
      <c r="D11" s="5" t="s">
        <v>34</v>
      </c>
      <c r="E11" s="5" t="s">
        <v>35</v>
      </c>
      <c r="F11" s="4" t="n">
        <v>2</v>
      </c>
      <c r="G11" s="4" t="s">
        <v>16</v>
      </c>
      <c r="H11" s="7" t="s">
        <v>17</v>
      </c>
      <c r="I11" s="7"/>
    </row>
    <row r="12" customFormat="false" ht="26.25" hidden="false" customHeight="true" outlineLevel="0" collapsed="false">
      <c r="A12" s="4" t="n">
        <v>7</v>
      </c>
      <c r="B12" s="5" t="s">
        <v>32</v>
      </c>
      <c r="C12" s="6" t="s">
        <v>36</v>
      </c>
      <c r="D12" s="5" t="s">
        <v>37</v>
      </c>
      <c r="E12" s="5" t="s">
        <v>38</v>
      </c>
      <c r="F12" s="4" t="n">
        <v>2</v>
      </c>
      <c r="G12" s="4" t="s">
        <v>16</v>
      </c>
      <c r="H12" s="7" t="s">
        <v>17</v>
      </c>
      <c r="I12" s="7"/>
    </row>
    <row r="13" customFormat="false" ht="24.75" hidden="false" customHeight="true" outlineLevel="0" collapsed="false">
      <c r="A13" s="4" t="n">
        <v>8</v>
      </c>
      <c r="B13" s="5" t="s">
        <v>32</v>
      </c>
      <c r="C13" s="6" t="s">
        <v>39</v>
      </c>
      <c r="D13" s="5" t="s">
        <v>40</v>
      </c>
      <c r="E13" s="5" t="s">
        <v>41</v>
      </c>
      <c r="F13" s="4" t="n">
        <v>2</v>
      </c>
      <c r="G13" s="4" t="s">
        <v>16</v>
      </c>
      <c r="H13" s="7" t="s">
        <v>17</v>
      </c>
      <c r="I13" s="7"/>
    </row>
    <row r="14" customFormat="false" ht="24.75" hidden="false" customHeight="true" outlineLevel="0" collapsed="false">
      <c r="A14" s="4" t="n">
        <v>9</v>
      </c>
      <c r="B14" s="5" t="s">
        <v>32</v>
      </c>
      <c r="C14" s="6" t="s">
        <v>42</v>
      </c>
      <c r="D14" s="5" t="s">
        <v>43</v>
      </c>
      <c r="E14" s="5" t="s">
        <v>44</v>
      </c>
      <c r="F14" s="4" t="n">
        <v>2</v>
      </c>
      <c r="G14" s="4" t="s">
        <v>27</v>
      </c>
      <c r="H14" s="7" t="s">
        <v>17</v>
      </c>
      <c r="I14" s="7"/>
    </row>
    <row r="15" customFormat="false" ht="24.75" hidden="false" customHeight="true" outlineLevel="0" collapsed="false">
      <c r="A15" s="4" t="n">
        <v>10</v>
      </c>
      <c r="B15" s="5" t="s">
        <v>32</v>
      </c>
      <c r="C15" s="6" t="s">
        <v>45</v>
      </c>
      <c r="D15" s="5" t="s">
        <v>46</v>
      </c>
      <c r="E15" s="5" t="s">
        <v>47</v>
      </c>
      <c r="F15" s="4" t="n">
        <v>2</v>
      </c>
      <c r="G15" s="4" t="s">
        <v>27</v>
      </c>
      <c r="H15" s="7" t="s">
        <v>28</v>
      </c>
      <c r="I15" s="7"/>
    </row>
    <row r="16" customFormat="false" ht="24.75" hidden="false" customHeight="true" outlineLevel="0" collapsed="false">
      <c r="A16" s="4" t="n">
        <v>11</v>
      </c>
      <c r="B16" s="5" t="s">
        <v>48</v>
      </c>
      <c r="C16" s="6" t="s">
        <v>49</v>
      </c>
      <c r="D16" s="5" t="s">
        <v>50</v>
      </c>
      <c r="E16" s="5" t="s">
        <v>51</v>
      </c>
      <c r="F16" s="4" t="n">
        <v>3</v>
      </c>
      <c r="G16" s="4" t="s">
        <v>27</v>
      </c>
      <c r="H16" s="7" t="s">
        <v>17</v>
      </c>
      <c r="I16" s="7"/>
    </row>
    <row r="17" customFormat="false" ht="15" hidden="false" customHeight="false" outlineLevel="0" collapsed="false">
      <c r="A17" s="4" t="n">
        <v>12</v>
      </c>
      <c r="B17" s="5" t="s">
        <v>48</v>
      </c>
      <c r="C17" s="6" t="s">
        <v>52</v>
      </c>
      <c r="D17" s="5" t="s">
        <v>53</v>
      </c>
      <c r="E17" s="5" t="s">
        <v>54</v>
      </c>
      <c r="F17" s="4" t="n">
        <v>3</v>
      </c>
      <c r="G17" s="4" t="s">
        <v>27</v>
      </c>
      <c r="H17" s="7" t="s">
        <v>17</v>
      </c>
      <c r="I17" s="7"/>
    </row>
    <row r="18" customFormat="false" ht="24.75" hidden="false" customHeight="true" outlineLevel="0" collapsed="false">
      <c r="A18" s="4" t="n">
        <v>13</v>
      </c>
      <c r="B18" s="5" t="s">
        <v>48</v>
      </c>
      <c r="C18" s="6" t="s">
        <v>55</v>
      </c>
      <c r="D18" s="5" t="s">
        <v>56</v>
      </c>
      <c r="E18" s="5" t="s">
        <v>57</v>
      </c>
      <c r="F18" s="4" t="n">
        <v>3</v>
      </c>
      <c r="G18" s="4" t="s">
        <v>27</v>
      </c>
      <c r="H18" s="7" t="s">
        <v>17</v>
      </c>
      <c r="I18" s="7"/>
    </row>
    <row r="19" customFormat="false" ht="15" hidden="false" customHeight="false" outlineLevel="0" collapsed="false">
      <c r="A19" s="4" t="n">
        <v>14</v>
      </c>
      <c r="B19" s="5" t="s">
        <v>48</v>
      </c>
      <c r="C19" s="6" t="s">
        <v>58</v>
      </c>
      <c r="D19" s="5" t="s">
        <v>59</v>
      </c>
      <c r="E19" s="5" t="s">
        <v>60</v>
      </c>
      <c r="F19" s="4" t="n">
        <v>3</v>
      </c>
      <c r="G19" s="4" t="s">
        <v>27</v>
      </c>
      <c r="H19" s="7" t="s">
        <v>17</v>
      </c>
      <c r="I19" s="7"/>
    </row>
    <row r="20" customFormat="false" ht="24.75" hidden="false" customHeight="true" outlineLevel="0" collapsed="false">
      <c r="A20" s="4" t="n">
        <v>15</v>
      </c>
      <c r="B20" s="5" t="s">
        <v>48</v>
      </c>
      <c r="C20" s="6" t="s">
        <v>61</v>
      </c>
      <c r="D20" s="5" t="s">
        <v>62</v>
      </c>
      <c r="E20" s="5" t="s">
        <v>63</v>
      </c>
      <c r="F20" s="4" t="n">
        <v>3</v>
      </c>
      <c r="G20" s="4" t="s">
        <v>27</v>
      </c>
      <c r="H20" s="7" t="s">
        <v>17</v>
      </c>
      <c r="I20" s="7"/>
    </row>
    <row r="21" customFormat="false" ht="26.25" hidden="false" customHeight="true" outlineLevel="0" collapsed="false">
      <c r="A21" s="4" t="n">
        <v>16</v>
      </c>
      <c r="B21" s="5" t="s">
        <v>48</v>
      </c>
      <c r="C21" s="6" t="s">
        <v>64</v>
      </c>
      <c r="D21" s="5" t="s">
        <v>65</v>
      </c>
      <c r="E21" s="5" t="s">
        <v>66</v>
      </c>
      <c r="F21" s="4" t="n">
        <v>3</v>
      </c>
      <c r="G21" s="4" t="s">
        <v>27</v>
      </c>
      <c r="H21" s="7" t="s">
        <v>17</v>
      </c>
      <c r="I21" s="7"/>
    </row>
    <row r="22" customFormat="false" ht="15" hidden="false" customHeight="false" outlineLevel="0" collapsed="false">
      <c r="A22" s="4" t="n">
        <v>17</v>
      </c>
      <c r="B22" s="5" t="s">
        <v>67</v>
      </c>
      <c r="C22" s="6" t="s">
        <v>68</v>
      </c>
      <c r="D22" s="5" t="s">
        <v>69</v>
      </c>
      <c r="E22" s="5" t="s">
        <v>70</v>
      </c>
      <c r="F22" s="4" t="n">
        <v>4</v>
      </c>
      <c r="G22" s="4" t="s">
        <v>27</v>
      </c>
      <c r="H22" s="7" t="s">
        <v>17</v>
      </c>
      <c r="I22" s="7"/>
    </row>
    <row r="23" customFormat="false" ht="15" hidden="false" customHeight="false" outlineLevel="0" collapsed="false">
      <c r="A23" s="4" t="n">
        <v>18</v>
      </c>
      <c r="B23" s="5" t="s">
        <v>67</v>
      </c>
      <c r="C23" s="6" t="s">
        <v>71</v>
      </c>
      <c r="D23" s="5" t="s">
        <v>72</v>
      </c>
      <c r="E23" s="5" t="s">
        <v>73</v>
      </c>
      <c r="F23" s="4" t="n">
        <v>4</v>
      </c>
      <c r="G23" s="4" t="s">
        <v>27</v>
      </c>
      <c r="H23" s="7" t="s">
        <v>28</v>
      </c>
      <c r="I23" s="7"/>
    </row>
    <row r="24" customFormat="false" ht="24.75" hidden="false" customHeight="true" outlineLevel="0" collapsed="false">
      <c r="A24" s="4" t="n">
        <v>19</v>
      </c>
      <c r="B24" s="5" t="s">
        <v>67</v>
      </c>
      <c r="C24" s="6" t="s">
        <v>74</v>
      </c>
      <c r="D24" s="5" t="s">
        <v>75</v>
      </c>
      <c r="E24" s="5" t="s">
        <v>76</v>
      </c>
      <c r="F24" s="4" t="n">
        <v>4</v>
      </c>
      <c r="G24" s="4" t="s">
        <v>27</v>
      </c>
      <c r="H24" s="7" t="s">
        <v>28</v>
      </c>
      <c r="I24" s="7"/>
    </row>
    <row r="25" customFormat="false" ht="23.85" hidden="false" customHeight="false" outlineLevel="0" collapsed="false">
      <c r="A25" s="4" t="n">
        <v>20</v>
      </c>
      <c r="B25" s="5" t="s">
        <v>77</v>
      </c>
      <c r="C25" s="6" t="s">
        <v>78</v>
      </c>
      <c r="D25" s="5" t="s">
        <v>79</v>
      </c>
      <c r="E25" s="5" t="s">
        <v>80</v>
      </c>
      <c r="F25" s="4" t="n">
        <v>2</v>
      </c>
      <c r="G25" s="4" t="s">
        <v>16</v>
      </c>
      <c r="H25" s="7" t="s">
        <v>81</v>
      </c>
      <c r="I25" s="7"/>
    </row>
    <row r="26" customFormat="false" ht="23.85" hidden="false" customHeight="false" outlineLevel="0" collapsed="false">
      <c r="A26" s="4" t="n">
        <v>21</v>
      </c>
      <c r="B26" s="5" t="s">
        <v>77</v>
      </c>
      <c r="C26" s="6" t="s">
        <v>82</v>
      </c>
      <c r="D26" s="5" t="s">
        <v>83</v>
      </c>
      <c r="E26" s="5" t="s">
        <v>84</v>
      </c>
      <c r="F26" s="4" t="n">
        <v>3</v>
      </c>
      <c r="G26" s="4" t="s">
        <v>27</v>
      </c>
      <c r="H26" s="7" t="s">
        <v>81</v>
      </c>
      <c r="I26" s="7"/>
    </row>
    <row r="27" customFormat="false" ht="23.85" hidden="false" customHeight="false" outlineLevel="0" collapsed="false">
      <c r="A27" s="4" t="n">
        <v>22</v>
      </c>
      <c r="B27" s="5" t="s">
        <v>77</v>
      </c>
      <c r="C27" s="6" t="s">
        <v>85</v>
      </c>
      <c r="D27" s="5" t="s">
        <v>86</v>
      </c>
      <c r="E27" s="5" t="s">
        <v>87</v>
      </c>
      <c r="F27" s="4" t="n">
        <v>3</v>
      </c>
      <c r="G27" s="4" t="s">
        <v>27</v>
      </c>
      <c r="H27" s="7" t="s">
        <v>81</v>
      </c>
      <c r="I27" s="7"/>
    </row>
    <row r="28" customFormat="false" ht="23.85" hidden="false" customHeight="false" outlineLevel="0" collapsed="false">
      <c r="A28" s="4" t="n">
        <v>23</v>
      </c>
      <c r="B28" s="5" t="s">
        <v>77</v>
      </c>
      <c r="C28" s="6" t="s">
        <v>88</v>
      </c>
      <c r="D28" s="5" t="s">
        <v>89</v>
      </c>
      <c r="E28" s="5" t="s">
        <v>90</v>
      </c>
      <c r="F28" s="4" t="n">
        <v>3</v>
      </c>
      <c r="G28" s="4" t="s">
        <v>27</v>
      </c>
      <c r="H28" s="7" t="s">
        <v>81</v>
      </c>
      <c r="I28" s="7"/>
    </row>
    <row r="29" customFormat="false" ht="23.85" hidden="false" customHeight="false" outlineLevel="0" collapsed="false">
      <c r="A29" s="4" t="n">
        <v>24</v>
      </c>
      <c r="B29" s="5" t="s">
        <v>91</v>
      </c>
      <c r="C29" s="6" t="s">
        <v>92</v>
      </c>
      <c r="D29" s="5" t="s">
        <v>93</v>
      </c>
      <c r="E29" s="5" t="s">
        <v>94</v>
      </c>
      <c r="F29" s="4" t="n">
        <v>2</v>
      </c>
      <c r="G29" s="4" t="s">
        <v>16</v>
      </c>
      <c r="H29" s="7" t="s">
        <v>81</v>
      </c>
      <c r="I29" s="7"/>
    </row>
    <row r="30" customFormat="false" ht="23.85" hidden="false" customHeight="false" outlineLevel="0" collapsed="false">
      <c r="A30" s="4" t="n">
        <v>25</v>
      </c>
      <c r="B30" s="5" t="s">
        <v>91</v>
      </c>
      <c r="C30" s="6" t="s">
        <v>95</v>
      </c>
      <c r="D30" s="5" t="s">
        <v>96</v>
      </c>
      <c r="E30" s="5" t="s">
        <v>97</v>
      </c>
      <c r="F30" s="4" t="n">
        <v>3</v>
      </c>
      <c r="G30" s="4" t="s">
        <v>27</v>
      </c>
      <c r="H30" s="7" t="s">
        <v>81</v>
      </c>
      <c r="I30" s="7"/>
    </row>
    <row r="31" customFormat="false" ht="23.85" hidden="false" customHeight="false" outlineLevel="0" collapsed="false">
      <c r="A31" s="4" t="n">
        <v>26</v>
      </c>
      <c r="B31" s="5" t="s">
        <v>91</v>
      </c>
      <c r="C31" s="6" t="s">
        <v>98</v>
      </c>
      <c r="D31" s="5" t="s">
        <v>99</v>
      </c>
      <c r="E31" s="5" t="s">
        <v>100</v>
      </c>
      <c r="F31" s="4" t="n">
        <v>2</v>
      </c>
      <c r="G31" s="4" t="s">
        <v>16</v>
      </c>
      <c r="H31" s="7" t="s">
        <v>81</v>
      </c>
      <c r="I31" s="7"/>
    </row>
    <row r="32" customFormat="false" ht="23.85" hidden="false" customHeight="false" outlineLevel="0" collapsed="false">
      <c r="A32" s="4" t="n">
        <v>27</v>
      </c>
      <c r="B32" s="5" t="s">
        <v>91</v>
      </c>
      <c r="C32" s="6" t="s">
        <v>101</v>
      </c>
      <c r="D32" s="5" t="s">
        <v>102</v>
      </c>
      <c r="E32" s="5" t="s">
        <v>103</v>
      </c>
      <c r="F32" s="4" t="n">
        <v>3</v>
      </c>
      <c r="G32" s="4" t="s">
        <v>27</v>
      </c>
      <c r="H32" s="7" t="s">
        <v>81</v>
      </c>
      <c r="I32" s="7"/>
    </row>
    <row r="33" customFormat="false" ht="23.85" hidden="false" customHeight="false" outlineLevel="0" collapsed="false">
      <c r="A33" s="4" t="n">
        <v>28</v>
      </c>
      <c r="B33" s="5" t="s">
        <v>104</v>
      </c>
      <c r="C33" s="6" t="s">
        <v>105</v>
      </c>
      <c r="D33" s="5" t="s">
        <v>106</v>
      </c>
      <c r="E33" s="5" t="s">
        <v>107</v>
      </c>
      <c r="F33" s="4" t="n">
        <v>2</v>
      </c>
      <c r="G33" s="4" t="s">
        <v>27</v>
      </c>
      <c r="H33" s="7" t="s">
        <v>81</v>
      </c>
      <c r="I33" s="7"/>
    </row>
    <row r="34" customFormat="false" ht="23.85" hidden="false" customHeight="false" outlineLevel="0" collapsed="false">
      <c r="A34" s="4" t="n">
        <v>29</v>
      </c>
      <c r="B34" s="5" t="s">
        <v>104</v>
      </c>
      <c r="C34" s="6" t="s">
        <v>108</v>
      </c>
      <c r="D34" s="5" t="s">
        <v>109</v>
      </c>
      <c r="E34" s="5" t="s">
        <v>110</v>
      </c>
      <c r="F34" s="4" t="n">
        <v>3</v>
      </c>
      <c r="G34" s="4" t="s">
        <v>27</v>
      </c>
      <c r="H34" s="7" t="s">
        <v>81</v>
      </c>
      <c r="I34" s="7"/>
    </row>
    <row r="35" customFormat="false" ht="23.85" hidden="false" customHeight="false" outlineLevel="0" collapsed="false">
      <c r="A35" s="4" t="n">
        <v>30</v>
      </c>
      <c r="B35" s="5" t="s">
        <v>111</v>
      </c>
      <c r="C35" s="6" t="s">
        <v>112</v>
      </c>
      <c r="D35" s="5" t="s">
        <v>113</v>
      </c>
      <c r="E35" s="5" t="s">
        <v>114</v>
      </c>
      <c r="F35" s="4" t="n">
        <v>4</v>
      </c>
      <c r="G35" s="4" t="s">
        <v>27</v>
      </c>
      <c r="H35" s="7" t="s">
        <v>81</v>
      </c>
      <c r="I35" s="7"/>
    </row>
    <row r="36" customFormat="false" ht="23.85" hidden="false" customHeight="false" outlineLevel="0" collapsed="false">
      <c r="A36" s="4" t="n">
        <v>31</v>
      </c>
      <c r="B36" s="5" t="s">
        <v>111</v>
      </c>
      <c r="C36" s="6" t="s">
        <v>115</v>
      </c>
      <c r="D36" s="5" t="s">
        <v>116</v>
      </c>
      <c r="E36" s="5" t="s">
        <v>117</v>
      </c>
      <c r="F36" s="4" t="n">
        <v>4</v>
      </c>
      <c r="G36" s="4" t="s">
        <v>27</v>
      </c>
      <c r="H36" s="7" t="s">
        <v>81</v>
      </c>
      <c r="I36" s="7"/>
    </row>
    <row r="37" customFormat="false" ht="23.85" hidden="false" customHeight="false" outlineLevel="0" collapsed="false">
      <c r="A37" s="4" t="n">
        <v>32</v>
      </c>
      <c r="B37" s="5" t="s">
        <v>118</v>
      </c>
      <c r="C37" s="6" t="s">
        <v>119</v>
      </c>
      <c r="D37" s="5" t="s">
        <v>120</v>
      </c>
      <c r="E37" s="5" t="s">
        <v>121</v>
      </c>
      <c r="F37" s="4" t="n">
        <v>1</v>
      </c>
      <c r="G37" s="4" t="s">
        <v>16</v>
      </c>
      <c r="H37" s="7" t="s">
        <v>81</v>
      </c>
      <c r="I37" s="7"/>
    </row>
    <row r="38" customFormat="false" ht="23.85" hidden="false" customHeight="false" outlineLevel="0" collapsed="false">
      <c r="A38" s="4" t="n">
        <v>33</v>
      </c>
      <c r="B38" s="5" t="s">
        <v>118</v>
      </c>
      <c r="C38" s="6" t="s">
        <v>122</v>
      </c>
      <c r="D38" s="5" t="s">
        <v>123</v>
      </c>
      <c r="E38" s="5" t="s">
        <v>124</v>
      </c>
      <c r="F38" s="4" t="n">
        <v>1</v>
      </c>
      <c r="G38" s="4" t="s">
        <v>16</v>
      </c>
      <c r="H38" s="7" t="s">
        <v>81</v>
      </c>
      <c r="I38" s="7"/>
    </row>
    <row r="39" customFormat="false" ht="23.85" hidden="false" customHeight="false" outlineLevel="0" collapsed="false">
      <c r="A39" s="4" t="n">
        <v>34</v>
      </c>
      <c r="B39" s="5" t="s">
        <v>118</v>
      </c>
      <c r="C39" s="6" t="s">
        <v>125</v>
      </c>
      <c r="D39" s="5" t="s">
        <v>126</v>
      </c>
      <c r="E39" s="5" t="s">
        <v>127</v>
      </c>
      <c r="F39" s="4" t="n">
        <v>3</v>
      </c>
      <c r="G39" s="4" t="s">
        <v>27</v>
      </c>
      <c r="H39" s="7" t="s">
        <v>81</v>
      </c>
      <c r="I39" s="7"/>
    </row>
    <row r="41" customFormat="false" ht="15" hidden="false" customHeight="false" outlineLevel="0" collapsed="false">
      <c r="A41" s="8" t="s">
        <v>128</v>
      </c>
    </row>
    <row r="42" customFormat="false" ht="15" hidden="false" customHeight="false" outlineLevel="0" collapsed="false">
      <c r="A42" s="9" t="s">
        <v>129</v>
      </c>
    </row>
  </sheetData>
  <autoFilter ref="A5:I39"/>
  <conditionalFormatting sqref="G6:G39">
    <cfRule type="expression" priority="2" aboveAverage="0" equalAverage="0" bottom="0" percent="0" rank="0" text="" dxfId="7">
      <formula>G6="Sim"</formula>
    </cfRule>
  </conditionalFormatting>
  <conditionalFormatting sqref="H6:H39">
    <cfRule type="expression" priority="3" aboveAverage="0" equalAverage="0" bottom="0" percent="0" rank="0" text="" dxfId="8">
      <formula>H6="Feita"</formula>
    </cfRule>
    <cfRule type="expression" priority="4" aboveAverage="0" equalAverage="0" bottom="0" percent="0" rank="0" text="" dxfId="9">
      <formula>H6="Rejeitada"</formula>
    </cfRule>
  </conditionalFormatting>
  <dataValidations count="2">
    <dataValidation allowBlank="true" errorStyle="stop" operator="between" showDropDown="false" showErrorMessage="false" showInputMessage="false" sqref="H6:H39" type="list">
      <formula1>"Por decidir,Aprovada,Em curso,Feita,Rejeitada"</formula1>
      <formula2>0</formula2>
    </dataValidation>
    <dataValidation allowBlank="false" errorStyle="stop" operator="between" showDropDown="false" showErrorMessage="false" showInputMessage="false" sqref="G6:G39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7.25" hidden="false" customHeight="tru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29.25" hidden="false" customHeight="true" outlineLevel="0" collapsed="false">
      <c r="A4" s="10" t="s">
        <v>4</v>
      </c>
      <c r="B4" s="10" t="s">
        <v>132</v>
      </c>
      <c r="C4" s="10" t="s">
        <v>133</v>
      </c>
      <c r="D4" s="10" t="s">
        <v>8</v>
      </c>
      <c r="E4" s="10" t="s">
        <v>134</v>
      </c>
      <c r="F4" s="10" t="s">
        <v>135</v>
      </c>
      <c r="G4" s="10" t="s">
        <v>136</v>
      </c>
      <c r="H4" s="10" t="s">
        <v>137</v>
      </c>
      <c r="I4" s="10" t="s">
        <v>138</v>
      </c>
    </row>
    <row r="5" customFormat="false" ht="15" hidden="false" customHeight="false" outlineLevel="0" collapsed="false">
      <c r="A5" s="11" t="s">
        <v>12</v>
      </c>
      <c r="B5" s="12" t="n">
        <f aca="false">COUNTIF(Ideias!$B$6:$B$39,A5)</f>
        <v>5</v>
      </c>
      <c r="C5" s="12" t="n">
        <f aca="false">COUNTIFS(Ideias!$B$6:$B$39,A5,Ideias!$G$6:$G$39,"Sim")</f>
        <v>3</v>
      </c>
      <c r="D5" s="12" t="n">
        <f aca="false">IFERROR(INDEX(Ideias!$F$6:$F$39,MATCH(A5,Ideias!$B$6:$B$39,0)),"")</f>
        <v>1</v>
      </c>
      <c r="E5" s="12" t="n">
        <f aca="false">COUNTIFS(Ideias!$B$6:$B$39,$A5,Ideias!$H$6:$H$39,"Aprovada")</f>
        <v>3</v>
      </c>
      <c r="F5" s="12" t="n">
        <f aca="false">COUNTIFS(Ideias!$B$6:$B$39,$A5,Ideias!$H$6:$H$39,"Em curso")</f>
        <v>0</v>
      </c>
      <c r="G5" s="12" t="n">
        <f aca="false">COUNTIFS(Ideias!$B$6:$B$39,$A5,Ideias!$H$6:$H$39,"Feita")</f>
        <v>0</v>
      </c>
      <c r="H5" s="12" t="n">
        <f aca="false">COUNTIFS(Ideias!$B$6:$B$39,$A5,Ideias!$H$6:$H$39,"Rejeitada")</f>
        <v>2</v>
      </c>
      <c r="I5" s="13" t="n">
        <f aca="false">IF(B5-H5=0,0,G5/(B5-H5))</f>
        <v>0</v>
      </c>
    </row>
    <row r="6" customFormat="false" ht="15" hidden="false" customHeight="false" outlineLevel="0" collapsed="false">
      <c r="A6" s="11" t="s">
        <v>32</v>
      </c>
      <c r="B6" s="12" t="n">
        <f aca="false">COUNTIF(Ideias!$B$6:$B$39,A6)</f>
        <v>5</v>
      </c>
      <c r="C6" s="12" t="n">
        <f aca="false">COUNTIFS(Ideias!$B$6:$B$39,A6,Ideias!$G$6:$G$39,"Sim")</f>
        <v>3</v>
      </c>
      <c r="D6" s="12" t="n">
        <f aca="false">IFERROR(INDEX(Ideias!$F$6:$F$39,MATCH(A6,Ideias!$B$6:$B$39,0)),"")</f>
        <v>2</v>
      </c>
      <c r="E6" s="12" t="n">
        <f aca="false">COUNTIFS(Ideias!$B$6:$B$39,$A6,Ideias!$H$6:$H$39,"Aprovada")</f>
        <v>4</v>
      </c>
      <c r="F6" s="12" t="n">
        <f aca="false">COUNTIFS(Ideias!$B$6:$B$39,$A6,Ideias!$H$6:$H$39,"Em curso")</f>
        <v>0</v>
      </c>
      <c r="G6" s="12" t="n">
        <f aca="false">COUNTIFS(Ideias!$B$6:$B$39,$A6,Ideias!$H$6:$H$39,"Feita")</f>
        <v>0</v>
      </c>
      <c r="H6" s="12" t="n">
        <f aca="false">COUNTIFS(Ideias!$B$6:$B$39,$A6,Ideias!$H$6:$H$39,"Rejeitada")</f>
        <v>1</v>
      </c>
      <c r="I6" s="13" t="n">
        <f aca="false">IF(B6-H6=0,0,G6/(B6-H6))</f>
        <v>0</v>
      </c>
    </row>
    <row r="7" customFormat="false" ht="15" hidden="false" customHeight="false" outlineLevel="0" collapsed="false">
      <c r="A7" s="11" t="s">
        <v>48</v>
      </c>
      <c r="B7" s="12" t="n">
        <f aca="false">COUNTIF(Ideias!$B$6:$B$39,A7)</f>
        <v>6</v>
      </c>
      <c r="C7" s="12" t="n">
        <f aca="false">COUNTIFS(Ideias!$B$6:$B$39,A7,Ideias!$G$6:$G$39,"Sim")</f>
        <v>0</v>
      </c>
      <c r="D7" s="12" t="n">
        <f aca="false">IFERROR(INDEX(Ideias!$F$6:$F$39,MATCH(A7,Ideias!$B$6:$B$39,0)),"")</f>
        <v>3</v>
      </c>
      <c r="E7" s="12" t="n">
        <f aca="false">COUNTIFS(Ideias!$B$6:$B$39,$A7,Ideias!$H$6:$H$39,"Aprovada")</f>
        <v>6</v>
      </c>
      <c r="F7" s="12" t="n">
        <f aca="false">COUNTIFS(Ideias!$B$6:$B$39,$A7,Ideias!$H$6:$H$39,"Em curso")</f>
        <v>0</v>
      </c>
      <c r="G7" s="12" t="n">
        <f aca="false">COUNTIFS(Ideias!$B$6:$B$39,$A7,Ideias!$H$6:$H$39,"Feita")</f>
        <v>0</v>
      </c>
      <c r="H7" s="12" t="n">
        <f aca="false">COUNTIFS(Ideias!$B$6:$B$39,$A7,Ideias!$H$6:$H$39,"Rejeitada")</f>
        <v>0</v>
      </c>
      <c r="I7" s="13" t="n">
        <f aca="false">IF(B7-H7=0,0,G7/(B7-H7))</f>
        <v>0</v>
      </c>
    </row>
    <row r="8" customFormat="false" ht="15" hidden="false" customHeight="false" outlineLevel="0" collapsed="false">
      <c r="A8" s="11" t="s">
        <v>67</v>
      </c>
      <c r="B8" s="12" t="n">
        <f aca="false">COUNTIF(Ideias!$B$6:$B$39,A8)</f>
        <v>3</v>
      </c>
      <c r="C8" s="12" t="n">
        <f aca="false">COUNTIFS(Ideias!$B$6:$B$39,A8,Ideias!$G$6:$G$39,"Sim")</f>
        <v>0</v>
      </c>
      <c r="D8" s="12" t="n">
        <f aca="false">IFERROR(INDEX(Ideias!$F$6:$F$39,MATCH(A8,Ideias!$B$6:$B$39,0)),"")</f>
        <v>4</v>
      </c>
      <c r="E8" s="12" t="n">
        <f aca="false">COUNTIFS(Ideias!$B$6:$B$39,$A8,Ideias!$H$6:$H$39,"Aprovada")</f>
        <v>1</v>
      </c>
      <c r="F8" s="12" t="n">
        <f aca="false">COUNTIFS(Ideias!$B$6:$B$39,$A8,Ideias!$H$6:$H$39,"Em curso")</f>
        <v>0</v>
      </c>
      <c r="G8" s="12" t="n">
        <f aca="false">COUNTIFS(Ideias!$B$6:$B$39,$A8,Ideias!$H$6:$H$39,"Feita")</f>
        <v>0</v>
      </c>
      <c r="H8" s="12" t="n">
        <f aca="false">COUNTIFS(Ideias!$B$6:$B$39,$A8,Ideias!$H$6:$H$39,"Rejeitada")</f>
        <v>2</v>
      </c>
      <c r="I8" s="13" t="n">
        <f aca="false">IF(B8-H8=0,0,G8/(B8-H8))</f>
        <v>0</v>
      </c>
    </row>
    <row r="9" customFormat="false" ht="15" hidden="false" customHeight="false" outlineLevel="0" collapsed="false">
      <c r="A9" s="11" t="s">
        <v>77</v>
      </c>
      <c r="B9" s="12" t="n">
        <f aca="false">COUNTIF(Ideias!$B$6:$B$39,A9)</f>
        <v>4</v>
      </c>
      <c r="C9" s="12" t="n">
        <f aca="false">COUNTIFS(Ideias!$B$6:$B$39,A9,Ideias!$G$6:$G$39,"Sim")</f>
        <v>1</v>
      </c>
      <c r="D9" s="12" t="n">
        <f aca="false">IFERROR(INDEX(Ideias!$F$6:$F$39,MATCH(A9,Ideias!$B$6:$B$39,0)),"")</f>
        <v>2</v>
      </c>
      <c r="E9" s="12" t="n">
        <f aca="false">COUNTIFS(Ideias!$B$6:$B$39,$A9,Ideias!$H$6:$H$39,"Aprovada")</f>
        <v>0</v>
      </c>
      <c r="F9" s="12" t="n">
        <f aca="false">COUNTIFS(Ideias!$B$6:$B$39,$A9,Ideias!$H$6:$H$39,"Em curso")</f>
        <v>0</v>
      </c>
      <c r="G9" s="12" t="n">
        <f aca="false">COUNTIFS(Ideias!$B$6:$B$39,$A9,Ideias!$H$6:$H$39,"Feita")</f>
        <v>0</v>
      </c>
      <c r="H9" s="12" t="n">
        <f aca="false">COUNTIFS(Ideias!$B$6:$B$39,$A9,Ideias!$H$6:$H$39,"Rejeitada")</f>
        <v>0</v>
      </c>
      <c r="I9" s="13" t="n">
        <f aca="false">IF(B9-H9=0,0,G9/(B9-H9))</f>
        <v>0</v>
      </c>
    </row>
    <row r="10" customFormat="false" ht="15" hidden="false" customHeight="false" outlineLevel="0" collapsed="false">
      <c r="A10" s="11" t="s">
        <v>91</v>
      </c>
      <c r="B10" s="12" t="n">
        <f aca="false">COUNTIF(Ideias!$B$6:$B$39,A10)</f>
        <v>4</v>
      </c>
      <c r="C10" s="12" t="n">
        <f aca="false">COUNTIFS(Ideias!$B$6:$B$39,A10,Ideias!$G$6:$G$39,"Sim")</f>
        <v>2</v>
      </c>
      <c r="D10" s="12" t="n">
        <f aca="false">IFERROR(INDEX(Ideias!$F$6:$F$39,MATCH(A10,Ideias!$B$6:$B$39,0)),"")</f>
        <v>2</v>
      </c>
      <c r="E10" s="12" t="n">
        <f aca="false">COUNTIFS(Ideias!$B$6:$B$39,$A10,Ideias!$H$6:$H$39,"Aprovada")</f>
        <v>0</v>
      </c>
      <c r="F10" s="12" t="n">
        <f aca="false">COUNTIFS(Ideias!$B$6:$B$39,$A10,Ideias!$H$6:$H$39,"Em curso")</f>
        <v>0</v>
      </c>
      <c r="G10" s="12" t="n">
        <f aca="false">COUNTIFS(Ideias!$B$6:$B$39,$A10,Ideias!$H$6:$H$39,"Feita")</f>
        <v>0</v>
      </c>
      <c r="H10" s="12" t="n">
        <f aca="false">COUNTIFS(Ideias!$B$6:$B$39,$A10,Ideias!$H$6:$H$39,"Rejeitada")</f>
        <v>0</v>
      </c>
      <c r="I10" s="13" t="n">
        <f aca="false">IF(B10-H10=0,0,G10/(B10-H10))</f>
        <v>0</v>
      </c>
    </row>
    <row r="11" customFormat="false" ht="15" hidden="false" customHeight="false" outlineLevel="0" collapsed="false">
      <c r="A11" s="11" t="s">
        <v>104</v>
      </c>
      <c r="B11" s="12" t="n">
        <f aca="false">COUNTIF(Ideias!$B$6:$B$39,A11)</f>
        <v>2</v>
      </c>
      <c r="C11" s="12" t="n">
        <f aca="false">COUNTIFS(Ideias!$B$6:$B$39,A11,Ideias!$G$6:$G$39,"Sim")</f>
        <v>0</v>
      </c>
      <c r="D11" s="12" t="n">
        <f aca="false">IFERROR(INDEX(Ideias!$F$6:$F$39,MATCH(A11,Ideias!$B$6:$B$39,0)),"")</f>
        <v>2</v>
      </c>
      <c r="E11" s="12" t="n">
        <f aca="false">COUNTIFS(Ideias!$B$6:$B$39,$A11,Ideias!$H$6:$H$39,"Aprovada")</f>
        <v>0</v>
      </c>
      <c r="F11" s="12" t="n">
        <f aca="false">COUNTIFS(Ideias!$B$6:$B$39,$A11,Ideias!$H$6:$H$39,"Em curso")</f>
        <v>0</v>
      </c>
      <c r="G11" s="12" t="n">
        <f aca="false">COUNTIFS(Ideias!$B$6:$B$39,$A11,Ideias!$H$6:$H$39,"Feita")</f>
        <v>0</v>
      </c>
      <c r="H11" s="12" t="n">
        <f aca="false">COUNTIFS(Ideias!$B$6:$B$39,$A11,Ideias!$H$6:$H$39,"Rejeitada")</f>
        <v>0</v>
      </c>
      <c r="I11" s="13" t="n">
        <f aca="false">IF(B11-H11=0,0,G11/(B11-H11))</f>
        <v>0</v>
      </c>
    </row>
    <row r="12" customFormat="false" ht="15" hidden="false" customHeight="false" outlineLevel="0" collapsed="false">
      <c r="A12" s="11" t="s">
        <v>111</v>
      </c>
      <c r="B12" s="12" t="n">
        <f aca="false">COUNTIF(Ideias!$B$6:$B$39,A12)</f>
        <v>2</v>
      </c>
      <c r="C12" s="12" t="n">
        <f aca="false">COUNTIFS(Ideias!$B$6:$B$39,A12,Ideias!$G$6:$G$39,"Sim")</f>
        <v>0</v>
      </c>
      <c r="D12" s="12" t="n">
        <f aca="false">IFERROR(INDEX(Ideias!$F$6:$F$39,MATCH(A12,Ideias!$B$6:$B$39,0)),"")</f>
        <v>4</v>
      </c>
      <c r="E12" s="12" t="n">
        <f aca="false">COUNTIFS(Ideias!$B$6:$B$39,$A12,Ideias!$H$6:$H$39,"Aprovada")</f>
        <v>0</v>
      </c>
      <c r="F12" s="12" t="n">
        <f aca="false">COUNTIFS(Ideias!$B$6:$B$39,$A12,Ideias!$H$6:$H$39,"Em curso")</f>
        <v>0</v>
      </c>
      <c r="G12" s="12" t="n">
        <f aca="false">COUNTIFS(Ideias!$B$6:$B$39,$A12,Ideias!$H$6:$H$39,"Feita")</f>
        <v>0</v>
      </c>
      <c r="H12" s="12" t="n">
        <f aca="false">COUNTIFS(Ideias!$B$6:$B$39,$A12,Ideias!$H$6:$H$39,"Rejeitada")</f>
        <v>0</v>
      </c>
      <c r="I12" s="13" t="n">
        <f aca="false">IF(B12-H12=0,0,G12/(B12-H12))</f>
        <v>0</v>
      </c>
    </row>
    <row r="13" customFormat="false" ht="15" hidden="false" customHeight="false" outlineLevel="0" collapsed="false">
      <c r="A13" s="11" t="s">
        <v>118</v>
      </c>
      <c r="B13" s="12" t="n">
        <f aca="false">COUNTIF(Ideias!$B$6:$B$39,A13)</f>
        <v>3</v>
      </c>
      <c r="C13" s="12" t="n">
        <f aca="false">COUNTIFS(Ideias!$B$6:$B$39,A13,Ideias!$G$6:$G$39,"Sim")</f>
        <v>2</v>
      </c>
      <c r="D13" s="12" t="n">
        <f aca="false">IFERROR(INDEX(Ideias!$F$6:$F$39,MATCH(A13,Ideias!$B$6:$B$39,0)),"")</f>
        <v>1</v>
      </c>
      <c r="E13" s="12" t="n">
        <f aca="false">COUNTIFS(Ideias!$B$6:$B$39,$A13,Ideias!$H$6:$H$39,"Aprovada")</f>
        <v>0</v>
      </c>
      <c r="F13" s="12" t="n">
        <f aca="false">COUNTIFS(Ideias!$B$6:$B$39,$A13,Ideias!$H$6:$H$39,"Em curso")</f>
        <v>0</v>
      </c>
      <c r="G13" s="12" t="n">
        <f aca="false">COUNTIFS(Ideias!$B$6:$B$39,$A13,Ideias!$H$6:$H$39,"Feita")</f>
        <v>0</v>
      </c>
      <c r="H13" s="12" t="n">
        <f aca="false">COUNTIFS(Ideias!$B$6:$B$39,$A13,Ideias!$H$6:$H$39,"Rejeitada")</f>
        <v>0</v>
      </c>
      <c r="I13" s="13" t="n">
        <f aca="false">IF(B13-H13=0,0,G13/(B13-H13))</f>
        <v>0</v>
      </c>
    </row>
    <row r="14" customFormat="false" ht="15" hidden="false" customHeight="false" outlineLevel="0" collapsed="false">
      <c r="A14" s="14" t="s">
        <v>139</v>
      </c>
      <c r="B14" s="15" t="n">
        <f aca="false">SUM(B5:B13)</f>
        <v>34</v>
      </c>
      <c r="C14" s="15" t="n">
        <f aca="false">SUM(C5:C13)</f>
        <v>11</v>
      </c>
      <c r="D14" s="15"/>
      <c r="E14" s="15" t="n">
        <f aca="false">SUM(E5:E13)</f>
        <v>14</v>
      </c>
      <c r="F14" s="15" t="n">
        <f aca="false">SUM(F5:F13)</f>
        <v>0</v>
      </c>
      <c r="G14" s="15" t="n">
        <f aca="false">SUM(G5:G13)</f>
        <v>0</v>
      </c>
      <c r="H14" s="15" t="n">
        <f aca="false">SUM(H5:H13)</f>
        <v>5</v>
      </c>
      <c r="I14" s="16" t="n">
        <f aca="false">IF(B14-H14=0,0,G14/(B14-H14))</f>
        <v>0</v>
      </c>
    </row>
    <row r="16" customFormat="false" ht="15" hidden="false" customHeight="false" outlineLevel="0" collapsed="false">
      <c r="A16" s="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2026-10-15T15:21:49Z</dcterms:created>
  <dc:creator>openpyxl</dc:creator>
  <dc:description/>
  <dc:language>en-US</dc:language>
  <cp:lastModifiedBy>Manuel Muinga</cp:lastModifiedBy>
  <dcterms:modified xsi:type="dcterms:W3CDTF">2026-10-15T15:43:49Z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